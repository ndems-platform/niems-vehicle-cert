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 ข้อมูล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<sst xmlns="http://schemas.openxmlformats.org/spreadsheetml/2006/main" uniqueCount="112">
  <si>
    <t>แบบคุมการตรวจขอรับรองมาตรฐานรถบริการการแพทย์ฉุกเฉิน แยกประเภทยื่นคำขอ ประจำปี 2569</t>
  </si>
  <si>
    <t>ลำดับ</t>
  </si>
  <si>
    <t>เลขที่ออกหนังสือ</t>
  </si>
  <si>
    <t>วันที่</t>
  </si>
  <si>
    <t>ชื่อผู้รับอนุญาต</t>
  </si>
  <si>
    <t>ที่อยู่</t>
  </si>
  <si>
    <t>ประเภทรถ</t>
  </si>
  <si>
    <t>ลักษณะ</t>
  </si>
  <si>
    <t>หมายเลขทะเบียน</t>
  </si>
  <si>
    <t>ยี่ห้อรถ</t>
  </si>
  <si>
    <t>สีของรถ</t>
  </si>
  <si>
    <t>รหัสรถปฏิบัติการ (ถ้ามี)</t>
  </si>
  <si>
    <t>จังหวัดหน่วยปฏิบัติการ</t>
  </si>
  <si>
    <t>วัน เดือน ปี
ที่ออกให้</t>
  </si>
  <si>
    <t>วัน เดือน ปี
ที่หมดอายุ</t>
  </si>
  <si>
    <t>ประเภท</t>
  </si>
  <si>
    <t>ประเภทรถ 
(CLS / ALS / BLS)</t>
  </si>
  <si>
    <t>ปีอายุการใช้งาน</t>
  </si>
  <si>
    <t>ผู้รับผิดชอบ</t>
  </si>
  <si>
    <t>ลักษณะรถ ตามเล่มทะเบียนรถ</t>
  </si>
  <si>
    <t>หมายเหตุ</t>
  </si>
  <si>
    <t>สติ๊กเกอร์ด้านข้าง</t>
  </si>
  <si>
    <t>สติ๊กเกอร์ด้านหน้า</t>
  </si>
  <si>
    <t>ชื่อผู้ถือกรรมสิทธิ์</t>
  </si>
  <si>
    <t xml:space="preserve">รหัสหน่วยปฏิบัติการ </t>
  </si>
  <si>
    <t>ประเภท ระดับ
.(พื้นฐาน/สูง/เฉพาะทาง/ที่ปรึกษา)</t>
  </si>
  <si>
    <t>พ.2.68/00041</t>
  </si>
  <si>
    <t>20 พฤศจิกายน 2567</t>
  </si>
  <si>
    <t>องค์การบริหารส่วนตำบลหนองหว้า</t>
  </si>
  <si>
    <t>22/2 ม.2 ต.หนองหว้า อ.บัวลาย จ.นครราชสีมา</t>
  </si>
  <si>
    <t>รถบริการการแพทย์ฉุกเฉินประเภทลำเลียงผู้ป่วยระดับปฏิบัติการแพทย์ขั้นพื้นฐาน</t>
  </si>
  <si>
    <t>รถยนต์นั่งส่วนบุคคลไม่เกิน 7 คน</t>
  </si>
  <si>
    <t>งล 9287 นครราชสีมา</t>
  </si>
  <si>
    <t>ยี่ห้อรถ TOYOTA</t>
  </si>
  <si>
    <t>สีของรถ ขาว เขียว เหลือง</t>
  </si>
  <si>
    <t>นครราชสีมา</t>
  </si>
  <si>
    <t>20 พฤศจิกายน 2570</t>
  </si>
  <si>
    <t>ขึ้นทะเบียนใหม่</t>
  </si>
  <si>
    <t>BLS</t>
  </si>
  <si>
    <t>กัญญ์วรา กุลาศรี</t>
  </si>
  <si>
    <t>รถพยาบาล</t>
  </si>
  <si>
    <t>ครบถ้วน</t>
  </si>
  <si>
    <t>test1</t>
  </si>
  <si>
    <t>DEP-1</t>
  </si>
  <si>
    <t>หน่วยปฏิบัติการแพทย์ระดับพื้นฐาน</t>
  </si>
  <si>
    <t>พ.2.68/00042</t>
  </si>
  <si>
    <t>องค์การบริหารส่วนตำบลหนองน้ำแดง</t>
  </si>
  <si>
    <t>399 ม.11 ต.หนองน้ำแดง อ.ปากช่อง จ. นครราชสีมา</t>
  </si>
  <si>
    <t>งร 1760 นครราชสีมา</t>
  </si>
  <si>
    <t>test2</t>
  </si>
  <si>
    <t>DEP-2</t>
  </si>
  <si>
    <t>พ.2.68/00043</t>
  </si>
  <si>
    <t>เทศบาลตำบลตะขบ</t>
  </si>
  <si>
    <t>999 ม.1 ต.ตะขบ อ.ปักธงชัย จ.นครราชสีมา</t>
  </si>
  <si>
    <t>รถบริการการแพทย์ฉุกเฉินประเภทลำเลียงผู้ป่วยระดับปฏิบัติการแพทย์ขั้นสูง</t>
  </si>
  <si>
    <t>งษ 3923 นครราชสีมา</t>
  </si>
  <si>
    <t>ALS</t>
  </si>
  <si>
    <t>test3</t>
  </si>
  <si>
    <t>DEP-3</t>
  </si>
  <si>
    <t>พ.2.68/00044</t>
  </si>
  <si>
    <t>องค์การบริหารส่วนตำบลคึมใหญ่</t>
  </si>
  <si>
    <t>ถนนดอนหวาย-หนองไฮ ต.คึมใหญ่ อ.เมือง จ.อำนาจเจริญ</t>
  </si>
  <si>
    <t>กจ 1638 อำนาจเจริญ</t>
  </si>
  <si>
    <t>สีของรถ ขาว เขียว เหลือง แดง</t>
  </si>
  <si>
    <t xml:space="preserve"> FR อจ.007/2567</t>
  </si>
  <si>
    <t>อำนาจเจริญ</t>
  </si>
  <si>
    <t>Test4</t>
  </si>
  <si>
    <t>DEP-4</t>
  </si>
  <si>
    <t>พ.2.68/00749</t>
  </si>
  <si>
    <t>7 พฤศจิกายน 2568</t>
  </si>
  <si>
    <t>โรงพยาบาลกรุงเทพขอนแก่น</t>
  </si>
  <si>
    <t>888 ม.16 ต.ในเมือง อ.เมือง จ.ขอนแก่น</t>
  </si>
  <si>
    <t>รถบริการการแพทย์ฉุกเฉินประเภทไม่ลำเลียงผู้ป่วยระดับปฏิบัติการแพทย์ขั้นเฉพาะทาง</t>
  </si>
  <si>
    <t>รถจักรยานยนต์</t>
  </si>
  <si>
    <t>2กฮ 4327 ขอนแก่น</t>
  </si>
  <si>
    <t>ยี่ห้อรถ HONDA</t>
  </si>
  <si>
    <t xml:space="preserve">สีของรถ ขาว ดำ </t>
  </si>
  <si>
    <t>ขอนแก่น</t>
  </si>
  <si>
    <t>6 พฤศจิกายน 2572</t>
  </si>
  <si>
    <t>CLS</t>
  </si>
  <si>
    <t>2.2ง</t>
  </si>
  <si>
    <t>test5</t>
  </si>
  <si>
    <t>DEP-5</t>
  </si>
  <si>
    <t>หน่วยปฏิบัติการแพทย์ระดับสูง</t>
  </si>
  <si>
    <t>พ.3.69/00014</t>
  </si>
  <si>
    <t>โรงพยาบาลเวชการุณย์รัศมิ์</t>
  </si>
  <si>
    <t>48 ม.2 แขวงกระทุ่มราย เขตหนองจอก กรุงเทพมหานคร</t>
  </si>
  <si>
    <t>รถบริการการแพทย์ฉุกเฉินประเภทไม่ลำเลียงผู้ป่วย</t>
  </si>
  <si>
    <t>9ขศ 2446 กรุงเทพมหานคร</t>
  </si>
  <si>
    <t>สีของรถ ขาว ดำ</t>
  </si>
  <si>
    <t>ML กทม 0066</t>
  </si>
  <si>
    <t>กรุงเทพมหานคร</t>
  </si>
  <si>
    <t>MC</t>
  </si>
  <si>
    <t>ภาณุวัฒน์ ศรีเจริญ</t>
  </si>
  <si>
    <t>test6</t>
  </si>
  <si>
    <t>DEP-6</t>
  </si>
  <si>
    <t>พ.3.69/00015</t>
  </si>
  <si>
    <t>9ขศ 2433 กรุงเทพมหานคร</t>
  </si>
  <si>
    <t>ML กทม 0065</t>
  </si>
  <si>
    <t>test7</t>
  </si>
  <si>
    <t>DEP-7</t>
  </si>
  <si>
    <t>พ.3.69/00016</t>
  </si>
  <si>
    <t>9ขศ 2439 กรุงเทพมหานคร</t>
  </si>
  <si>
    <t>ML กทม 0064</t>
  </si>
  <si>
    <t>DEP-8</t>
  </si>
  <si>
    <t>พ.3.69/00017</t>
  </si>
  <si>
    <t>โรงพยาบาลจุฬาลงกรณ์</t>
  </si>
  <si>
    <t>๑๘๗๓ แขวงปทุมวัน เขตปทุมวัน กรุงเทพมหานคร</t>
  </si>
  <si>
    <t>6ขย 5048 กรุงเทพมหานคร</t>
  </si>
  <si>
    <t>สีของรถ ดำ</t>
  </si>
  <si>
    <t>ML กทม 0067</t>
  </si>
  <si>
    <t>DEP-9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</si>
</sst>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&quot; &quot;mmmm&quot; &quot;yyyy"/>
  </numFmts>
  <fonts count="4">
    <font>
      <sz val="11"/>
      <color indexed="8"/>
      <name val="Tahoma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TH SarabunPSK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/>
    </xf>
    <xf numFmtId="0" fontId="0" fillId="3" borderId="1" applyNumberFormat="0" applyFont="1" applyFill="1" applyBorder="1" applyAlignment="1" applyProtection="0">
      <alignment vertical="center"/>
    </xf>
    <xf numFmtId="59" fontId="0" fillId="3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7caa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1"/>
  <sheetViews>
    <sheetView workbookViewId="0" showGridLines="0" defaultGridColor="1"/>
  </sheetViews>
  <sheetFormatPr defaultColWidth="9" defaultRowHeight="20.25" customHeight="1" outlineLevelRow="0" outlineLevelCol="0"/>
  <cols>
    <col min="1" max="1" width="9.35156" style="1" customWidth="1"/>
    <col min="2" max="2" width="16.6719" style="1" customWidth="1"/>
    <col min="3" max="3" width="23" style="1" customWidth="1"/>
    <col min="4" max="4" width="28.5" style="1" customWidth="1"/>
    <col min="5" max="5" width="37.3516" style="1" customWidth="1"/>
    <col min="6" max="6" width="55" style="1" customWidth="1"/>
    <col min="7" max="7" width="21.5" style="1" customWidth="1"/>
    <col min="8" max="8" width="22.3516" style="1" customWidth="1"/>
    <col min="9" max="9" width="16.8516" style="1" customWidth="1"/>
    <col min="10" max="10" width="20" style="1" customWidth="1"/>
    <col min="11" max="11" width="21.6719" style="1" customWidth="1"/>
    <col min="12" max="12" width="20.8516" style="1" customWidth="1"/>
    <col min="13" max="13" width="21.1719" style="1" customWidth="1"/>
    <col min="14" max="14" width="30.3516" style="1" customWidth="1"/>
    <col min="15" max="15" width="16.1719" style="1" customWidth="1"/>
    <col min="16" max="16" width="18.3516" style="1" customWidth="1"/>
    <col min="17" max="17" width="16.1719" style="1" customWidth="1"/>
    <col min="18" max="18" width="13.3516" style="1" customWidth="1"/>
    <col min="19" max="19" width="26.1719" style="1" customWidth="1"/>
    <col min="20" max="20" width="11.8516" style="1" customWidth="1"/>
    <col min="21" max="21" width="16.8516" style="1" customWidth="1"/>
    <col min="22" max="22" width="17.5" style="1" customWidth="1"/>
    <col min="23" max="23" width="14.8516" style="1" customWidth="1"/>
    <col min="24" max="24" width="15.5" style="1" customWidth="1"/>
    <col min="25" max="25" width="29.8516" style="1" customWidth="1"/>
    <col min="26" max="16384" width="9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</row>
    <row r="2" ht="37.5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6">
        <v>13</v>
      </c>
      <c r="N2" t="s" s="6">
        <v>14</v>
      </c>
      <c r="O2" t="s" s="2">
        <v>15</v>
      </c>
      <c r="P2" t="s" s="6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6">
        <v>25</v>
      </c>
    </row>
    <row r="3" ht="33" customHeight="1">
      <c r="A3" s="7">
        <v>1</v>
      </c>
      <c r="B3" t="s" s="8">
        <v>26</v>
      </c>
      <c r="C3" t="s" s="8">
        <v>27</v>
      </c>
      <c r="D3" t="s" s="8">
        <v>28</v>
      </c>
      <c r="E3" t="s" s="8">
        <v>29</v>
      </c>
      <c r="F3" t="s" s="8">
        <v>30</v>
      </c>
      <c r="G3" t="s" s="8">
        <v>31</v>
      </c>
      <c r="H3" t="s" s="8">
        <v>32</v>
      </c>
      <c r="I3" t="s" s="8">
        <v>33</v>
      </c>
      <c r="J3" t="s" s="8">
        <v>34</v>
      </c>
      <c r="K3" s="9"/>
      <c r="L3" t="s" s="8">
        <v>35</v>
      </c>
      <c r="M3" t="s" s="8">
        <v>27</v>
      </c>
      <c r="N3" t="s" s="8">
        <v>36</v>
      </c>
      <c r="O3" t="s" s="8">
        <v>37</v>
      </c>
      <c r="P3" t="s" s="8">
        <v>38</v>
      </c>
      <c r="Q3" s="7">
        <v>2567</v>
      </c>
      <c r="R3" t="s" s="8">
        <v>39</v>
      </c>
      <c r="S3" t="s" s="8">
        <v>40</v>
      </c>
      <c r="T3" t="s" s="8">
        <v>41</v>
      </c>
      <c r="U3" s="9"/>
      <c r="V3" s="9"/>
      <c r="W3" t="s" s="8">
        <v>42</v>
      </c>
      <c r="X3" t="s" s="8">
        <v>43</v>
      </c>
      <c r="Y3" t="s" s="8">
        <v>44</v>
      </c>
    </row>
    <row r="4" ht="33" customHeight="1">
      <c r="A4" s="7">
        <v>2</v>
      </c>
      <c r="B4" t="s" s="8">
        <v>45</v>
      </c>
      <c r="C4" t="s" s="8">
        <v>27</v>
      </c>
      <c r="D4" t="s" s="8">
        <v>46</v>
      </c>
      <c r="E4" t="s" s="8">
        <v>47</v>
      </c>
      <c r="F4" t="s" s="8">
        <v>30</v>
      </c>
      <c r="G4" t="s" s="8">
        <v>31</v>
      </c>
      <c r="H4" t="s" s="8">
        <v>48</v>
      </c>
      <c r="I4" t="s" s="8">
        <v>33</v>
      </c>
      <c r="J4" t="s" s="8">
        <v>34</v>
      </c>
      <c r="K4" s="9"/>
      <c r="L4" t="s" s="8">
        <v>35</v>
      </c>
      <c r="M4" t="s" s="8">
        <v>27</v>
      </c>
      <c r="N4" t="s" s="8">
        <v>36</v>
      </c>
      <c r="O4" t="s" s="8">
        <v>37</v>
      </c>
      <c r="P4" t="s" s="8">
        <v>38</v>
      </c>
      <c r="Q4" s="7">
        <v>2566</v>
      </c>
      <c r="R4" t="s" s="8">
        <v>39</v>
      </c>
      <c r="S4" t="s" s="8">
        <v>40</v>
      </c>
      <c r="T4" t="s" s="8">
        <v>41</v>
      </c>
      <c r="U4" s="9"/>
      <c r="V4" s="9"/>
      <c r="W4" t="s" s="8">
        <v>49</v>
      </c>
      <c r="X4" t="s" s="8">
        <v>50</v>
      </c>
      <c r="Y4" t="s" s="8">
        <v>44</v>
      </c>
    </row>
    <row r="5" ht="33" customHeight="1">
      <c r="A5" s="7">
        <v>3</v>
      </c>
      <c r="B5" t="s" s="8">
        <v>51</v>
      </c>
      <c r="C5" t="s" s="8">
        <v>27</v>
      </c>
      <c r="D5" t="s" s="8">
        <v>52</v>
      </c>
      <c r="E5" t="s" s="8">
        <v>53</v>
      </c>
      <c r="F5" t="s" s="8">
        <v>54</v>
      </c>
      <c r="G5" t="s" s="8">
        <v>31</v>
      </c>
      <c r="H5" t="s" s="8">
        <v>55</v>
      </c>
      <c r="I5" t="s" s="8">
        <v>33</v>
      </c>
      <c r="J5" t="s" s="8">
        <v>34</v>
      </c>
      <c r="K5" s="9"/>
      <c r="L5" t="s" s="8">
        <v>35</v>
      </c>
      <c r="M5" t="s" s="8">
        <v>27</v>
      </c>
      <c r="N5" t="s" s="8">
        <v>36</v>
      </c>
      <c r="O5" t="s" s="8">
        <v>37</v>
      </c>
      <c r="P5" t="s" s="8">
        <v>56</v>
      </c>
      <c r="Q5" s="7">
        <v>2567</v>
      </c>
      <c r="R5" t="s" s="8">
        <v>39</v>
      </c>
      <c r="S5" t="s" s="8">
        <v>40</v>
      </c>
      <c r="T5" t="s" s="8">
        <v>41</v>
      </c>
      <c r="U5" s="9"/>
      <c r="V5" s="9"/>
      <c r="W5" t="s" s="8">
        <v>57</v>
      </c>
      <c r="X5" t="s" s="8">
        <v>58</v>
      </c>
      <c r="Y5" t="s" s="8">
        <v>44</v>
      </c>
    </row>
    <row r="6" ht="33" customHeight="1">
      <c r="A6" s="7">
        <v>4</v>
      </c>
      <c r="B6" t="s" s="8">
        <v>59</v>
      </c>
      <c r="C6" t="s" s="8">
        <v>27</v>
      </c>
      <c r="D6" t="s" s="8">
        <v>60</v>
      </c>
      <c r="E6" t="s" s="8">
        <v>61</v>
      </c>
      <c r="F6" t="s" s="8">
        <v>30</v>
      </c>
      <c r="G6" t="s" s="8">
        <v>31</v>
      </c>
      <c r="H6" t="s" s="8">
        <v>62</v>
      </c>
      <c r="I6" t="s" s="8">
        <v>33</v>
      </c>
      <c r="J6" t="s" s="8">
        <v>63</v>
      </c>
      <c r="K6" t="s" s="8">
        <v>64</v>
      </c>
      <c r="L6" t="s" s="8">
        <v>65</v>
      </c>
      <c r="M6" t="s" s="8">
        <v>27</v>
      </c>
      <c r="N6" t="s" s="8">
        <v>36</v>
      </c>
      <c r="O6" t="s" s="8">
        <v>37</v>
      </c>
      <c r="P6" t="s" s="8">
        <v>38</v>
      </c>
      <c r="Q6" s="7">
        <v>2567</v>
      </c>
      <c r="R6" t="s" s="8">
        <v>39</v>
      </c>
      <c r="S6" t="s" s="8">
        <v>40</v>
      </c>
      <c r="T6" t="s" s="8">
        <v>41</v>
      </c>
      <c r="U6" s="9"/>
      <c r="V6" s="9"/>
      <c r="W6" t="s" s="8">
        <v>66</v>
      </c>
      <c r="X6" t="s" s="8">
        <v>67</v>
      </c>
      <c r="Y6" t="s" s="8">
        <v>44</v>
      </c>
    </row>
    <row r="7" ht="33" customHeight="1">
      <c r="A7" s="7">
        <v>5</v>
      </c>
      <c r="B7" t="s" s="8">
        <v>68</v>
      </c>
      <c r="C7" t="s" s="8">
        <v>69</v>
      </c>
      <c r="D7" t="s" s="8">
        <v>70</v>
      </c>
      <c r="E7" t="s" s="8">
        <v>71</v>
      </c>
      <c r="F7" t="s" s="8">
        <v>72</v>
      </c>
      <c r="G7" t="s" s="8">
        <v>73</v>
      </c>
      <c r="H7" t="s" s="8">
        <v>74</v>
      </c>
      <c r="I7" t="s" s="8">
        <v>75</v>
      </c>
      <c r="J7" t="s" s="8">
        <v>76</v>
      </c>
      <c r="K7" s="9"/>
      <c r="L7" t="s" s="8">
        <v>77</v>
      </c>
      <c r="M7" t="s" s="8">
        <v>69</v>
      </c>
      <c r="N7" t="s" s="8">
        <v>78</v>
      </c>
      <c r="O7" t="s" s="8">
        <v>37</v>
      </c>
      <c r="P7" t="s" s="8">
        <v>79</v>
      </c>
      <c r="Q7" s="7">
        <v>2568</v>
      </c>
      <c r="R7" t="s" s="8">
        <v>39</v>
      </c>
      <c r="S7" t="s" s="8">
        <v>73</v>
      </c>
      <c r="T7" t="s" s="8">
        <v>41</v>
      </c>
      <c r="U7" t="s" s="8">
        <v>80</v>
      </c>
      <c r="V7" s="9"/>
      <c r="W7" t="s" s="8">
        <v>81</v>
      </c>
      <c r="X7" t="s" s="8">
        <v>82</v>
      </c>
      <c r="Y7" t="s" s="8">
        <v>83</v>
      </c>
    </row>
    <row r="8" ht="33" customHeight="1">
      <c r="A8" s="7">
        <v>6</v>
      </c>
      <c r="B8" t="s" s="8">
        <v>84</v>
      </c>
      <c r="C8" s="10">
        <v>45938</v>
      </c>
      <c r="D8" t="s" s="8">
        <v>85</v>
      </c>
      <c r="E8" t="s" s="8">
        <v>86</v>
      </c>
      <c r="F8" t="s" s="8">
        <v>87</v>
      </c>
      <c r="G8" t="s" s="8">
        <v>73</v>
      </c>
      <c r="H8" t="s" s="8">
        <v>88</v>
      </c>
      <c r="I8" t="s" s="8">
        <v>75</v>
      </c>
      <c r="J8" t="s" s="8">
        <v>89</v>
      </c>
      <c r="K8" t="s" s="8">
        <v>90</v>
      </c>
      <c r="L8" t="s" s="8">
        <v>91</v>
      </c>
      <c r="M8" s="10" cm="1">
        <f t="array" ref="M8">C8</f>
        <v>45938</v>
      </c>
      <c r="N8" s="10" cm="1">
        <f t="array" ref="N8">M8+(365*4)</f>
        <v>47398</v>
      </c>
      <c r="O8" t="s" s="8">
        <v>37</v>
      </c>
      <c r="P8" t="s" s="8">
        <v>92</v>
      </c>
      <c r="Q8" s="7">
        <v>2568</v>
      </c>
      <c r="R8" t="s" s="8">
        <v>93</v>
      </c>
      <c r="S8" t="s" s="8">
        <v>73</v>
      </c>
      <c r="T8" t="s" s="8">
        <v>41</v>
      </c>
      <c r="U8" s="9"/>
      <c r="V8" s="9"/>
      <c r="W8" t="s" s="8">
        <v>94</v>
      </c>
      <c r="X8" t="s" s="8">
        <v>95</v>
      </c>
      <c r="Y8" t="s" s="8">
        <v>83</v>
      </c>
    </row>
    <row r="9" ht="33" customHeight="1">
      <c r="A9" s="7">
        <v>7</v>
      </c>
      <c r="B9" t="s" s="8">
        <v>96</v>
      </c>
      <c r="C9" s="10">
        <v>45938</v>
      </c>
      <c r="D9" t="s" s="8">
        <v>85</v>
      </c>
      <c r="E9" t="s" s="8">
        <v>86</v>
      </c>
      <c r="F9" t="s" s="8">
        <v>87</v>
      </c>
      <c r="G9" t="s" s="8">
        <v>73</v>
      </c>
      <c r="H9" t="s" s="8">
        <v>97</v>
      </c>
      <c r="I9" t="s" s="8">
        <v>75</v>
      </c>
      <c r="J9" t="s" s="8">
        <v>89</v>
      </c>
      <c r="K9" t="s" s="8">
        <v>98</v>
      </c>
      <c r="L9" t="s" s="8">
        <v>91</v>
      </c>
      <c r="M9" s="10" cm="1">
        <f t="array" ref="M9">C9</f>
        <v>45938</v>
      </c>
      <c r="N9" s="10" cm="1">
        <f t="array" ref="N9">M9+(365*4)</f>
        <v>47398</v>
      </c>
      <c r="O9" t="s" s="8">
        <v>37</v>
      </c>
      <c r="P9" t="s" s="8">
        <v>92</v>
      </c>
      <c r="Q9" s="7">
        <v>2568</v>
      </c>
      <c r="R9" t="s" s="8">
        <v>93</v>
      </c>
      <c r="S9" t="s" s="8">
        <v>73</v>
      </c>
      <c r="T9" t="s" s="8">
        <v>41</v>
      </c>
      <c r="U9" s="9"/>
      <c r="V9" s="9"/>
      <c r="W9" t="s" s="8">
        <v>99</v>
      </c>
      <c r="X9" t="s" s="8">
        <v>100</v>
      </c>
      <c r="Y9" t="s" s="8">
        <v>83</v>
      </c>
    </row>
    <row r="10" ht="33" customHeight="1">
      <c r="A10" s="7">
        <v>8</v>
      </c>
      <c r="B10" t="s" s="8">
        <v>101</v>
      </c>
      <c r="C10" s="10">
        <v>45938</v>
      </c>
      <c r="D10" t="s" s="8">
        <v>85</v>
      </c>
      <c r="E10" t="s" s="8">
        <v>86</v>
      </c>
      <c r="F10" t="s" s="8">
        <v>87</v>
      </c>
      <c r="G10" t="s" s="8">
        <v>73</v>
      </c>
      <c r="H10" t="s" s="8">
        <v>102</v>
      </c>
      <c r="I10" t="s" s="8">
        <v>75</v>
      </c>
      <c r="J10" t="s" s="8">
        <v>89</v>
      </c>
      <c r="K10" t="s" s="8">
        <v>103</v>
      </c>
      <c r="L10" t="s" s="8">
        <v>91</v>
      </c>
      <c r="M10" s="10" cm="1">
        <f t="array" ref="M10">C10</f>
        <v>45938</v>
      </c>
      <c r="N10" s="10" cm="1">
        <f t="array" ref="N10">M10+(365*4)</f>
        <v>47398</v>
      </c>
      <c r="O10" t="s" s="8">
        <v>37</v>
      </c>
      <c r="P10" t="s" s="8">
        <v>92</v>
      </c>
      <c r="Q10" s="7">
        <v>2568</v>
      </c>
      <c r="R10" t="s" s="8">
        <v>93</v>
      </c>
      <c r="S10" t="s" s="8">
        <v>73</v>
      </c>
      <c r="T10" t="s" s="8">
        <v>41</v>
      </c>
      <c r="U10" s="9"/>
      <c r="V10" s="9"/>
      <c r="W10" t="s" s="8">
        <v>99</v>
      </c>
      <c r="X10" t="s" s="8">
        <v>104</v>
      </c>
      <c r="Y10" t="s" s="8">
        <v>83</v>
      </c>
    </row>
    <row r="11" ht="33" customHeight="1">
      <c r="A11" s="7">
        <v>9</v>
      </c>
      <c r="B11" t="s" s="8">
        <v>105</v>
      </c>
      <c r="C11" s="10">
        <v>45938</v>
      </c>
      <c r="D11" t="s" s="8">
        <v>106</v>
      </c>
      <c r="E11" t="s" s="8">
        <v>107</v>
      </c>
      <c r="F11" t="s" s="8">
        <v>87</v>
      </c>
      <c r="G11" t="s" s="8">
        <v>73</v>
      </c>
      <c r="H11" t="s" s="8">
        <v>108</v>
      </c>
      <c r="I11" t="s" s="8">
        <v>75</v>
      </c>
      <c r="J11" t="s" s="8">
        <v>109</v>
      </c>
      <c r="K11" t="s" s="8">
        <v>110</v>
      </c>
      <c r="L11" t="s" s="8">
        <v>91</v>
      </c>
      <c r="M11" s="10" cm="1">
        <f t="array" ref="M11">C11</f>
        <v>45938</v>
      </c>
      <c r="N11" s="10" cm="1">
        <f t="array" ref="N11">M11+(365*4)</f>
        <v>47398</v>
      </c>
      <c r="O11" t="s" s="8">
        <v>37</v>
      </c>
      <c r="P11" t="s" s="8">
        <v>92</v>
      </c>
      <c r="Q11" s="7">
        <v>2568</v>
      </c>
      <c r="R11" t="s" s="8">
        <v>93</v>
      </c>
      <c r="S11" t="s" s="8">
        <v>73</v>
      </c>
      <c r="T11" t="s" s="8">
        <v>41</v>
      </c>
      <c r="U11" s="9"/>
      <c r="V11" s="9"/>
      <c r="W11" t="s" s="8">
        <v>99</v>
      </c>
      <c r="X11" t="s" s="8">
        <v>111</v>
      </c>
      <c r="Y11" t="s" s="8">
        <v>83</v>
      </c>
    </row>
  </sheetData>
  <mergeCells count="1">
    <mergeCell ref="A1:V1"/>
  </mergeCells>
  <pageMargins left="0.16" right="0.16" top="0.42" bottom="0.15748" header="0.19685" footer="0.15748"/>
  <pageSetup firstPageNumber="1" fitToHeight="1" fitToWidth="1" scale="6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